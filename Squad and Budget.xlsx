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henriquesimoessilva/Meu Drive/6. arquivos pessoais Henrique/Santa Cruz/"/>
    </mc:Choice>
  </mc:AlternateContent>
  <xr:revisionPtr revIDLastSave="0" documentId="13_ncr:1_{0D3DC255-8849-DC40-B6BC-D17842359C17}" xr6:coauthVersionLast="47" xr6:coauthVersionMax="47" xr10:uidLastSave="{00000000-0000-0000-0000-000000000000}"/>
  <bookViews>
    <workbookView xWindow="33520" yWindow="320" windowWidth="30240" windowHeight="17260" xr2:uid="{4E7F6755-7A6F-491B-BBC9-63535A73B458}"/>
  </bookViews>
  <sheets>
    <sheet name="Squad" sheetId="1" r:id="rId1"/>
  </sheets>
  <definedNames>
    <definedName name="_xlnm._FilterDatabase" localSheetId="0" hidden="1">Squad!$B$2:$G$2</definedName>
    <definedName name="LISTA_STATUS">#REF!</definedName>
    <definedName name="Resumã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68" i="1" l="1"/>
  <c r="O68" i="1"/>
  <c r="P68" i="1"/>
  <c r="N67" i="1"/>
  <c r="O67" i="1"/>
  <c r="P67" i="1"/>
  <c r="L70" i="1"/>
  <c r="N69" i="1"/>
  <c r="O69" i="1" s="1"/>
  <c r="P69" i="1" s="1"/>
  <c r="N66" i="1"/>
  <c r="O66" i="1" s="1"/>
  <c r="P66" i="1" s="1"/>
  <c r="N65" i="1"/>
  <c r="O65" i="1" s="1"/>
  <c r="P65" i="1" s="1"/>
  <c r="N64" i="1"/>
  <c r="O64" i="1" s="1"/>
  <c r="P64" i="1" s="1"/>
  <c r="N63" i="1"/>
  <c r="N50" i="1"/>
  <c r="O50" i="1" s="1"/>
  <c r="P50" i="1" s="1"/>
  <c r="N49" i="1"/>
  <c r="N48" i="1"/>
  <c r="O48" i="1" s="1"/>
  <c r="P48" i="1" s="1"/>
  <c r="N47" i="1"/>
  <c r="N46" i="1"/>
  <c r="L51" i="1"/>
  <c r="O47" i="1"/>
  <c r="P47" i="1" s="1"/>
  <c r="L28" i="1"/>
  <c r="O28" i="1"/>
  <c r="P28" i="1"/>
  <c r="O24" i="1"/>
  <c r="P24" i="1" s="1"/>
  <c r="O25" i="1"/>
  <c r="P25" i="1" s="1"/>
  <c r="O26" i="1"/>
  <c r="P26" i="1" s="1"/>
  <c r="O27" i="1"/>
  <c r="P27" i="1" s="1"/>
  <c r="P23" i="1"/>
  <c r="O23" i="1"/>
  <c r="N24" i="1"/>
  <c r="N25" i="1"/>
  <c r="N26" i="1"/>
  <c r="M26" i="1" s="1"/>
  <c r="N27" i="1"/>
  <c r="M27" i="1" s="1"/>
  <c r="N23" i="1"/>
  <c r="M24" i="1"/>
  <c r="M25" i="1"/>
  <c r="E36" i="1"/>
  <c r="H36" i="1"/>
  <c r="I36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" i="1"/>
  <c r="M17" i="1"/>
  <c r="M15" i="1"/>
  <c r="M12" i="1"/>
  <c r="L11" i="1"/>
  <c r="L13" i="1" s="1"/>
  <c r="M10" i="1"/>
  <c r="M9" i="1"/>
  <c r="M8" i="1"/>
  <c r="M7" i="1"/>
  <c r="M6" i="1"/>
  <c r="O63" i="1" l="1"/>
  <c r="N70" i="1"/>
  <c r="P63" i="1"/>
  <c r="P70" i="1" s="1"/>
  <c r="O70" i="1"/>
  <c r="O46" i="1"/>
  <c r="N28" i="1"/>
  <c r="M23" i="1"/>
  <c r="M11" i="1"/>
  <c r="M13" i="1" s="1"/>
  <c r="P46" i="1" l="1"/>
  <c r="N11" i="1"/>
  <c r="N13" i="1" s="1"/>
  <c r="O49" i="1" l="1"/>
  <c r="P49" i="1" s="1"/>
  <c r="P51" i="1" s="1"/>
  <c r="N51" i="1"/>
  <c r="O51" i="1"/>
</calcChain>
</file>

<file path=xl/sharedStrings.xml><?xml version="1.0" encoding="utf-8"?>
<sst xmlns="http://schemas.openxmlformats.org/spreadsheetml/2006/main" count="191" uniqueCount="99">
  <si>
    <t>FULL NAME</t>
  </si>
  <si>
    <t>PLAYER</t>
  </si>
  <si>
    <t>POSITION</t>
  </si>
  <si>
    <t>GROSS MONTHLY</t>
  </si>
  <si>
    <t>ANNUAL COST</t>
  </si>
  <si>
    <t>STATUS (at signing)</t>
  </si>
  <si>
    <t>EVERALDO SILVA DO NASCIMENTO</t>
  </si>
  <si>
    <t>EVERALDO</t>
  </si>
  <si>
    <t>FORWARD</t>
  </si>
  <si>
    <t>STAR PLAYER</t>
  </si>
  <si>
    <t>REGIS AUGUSTO SALMAZZO</t>
  </si>
  <si>
    <t>REGIS</t>
  </si>
  <si>
    <t>DIEGO DE SOUZA QUIRINO</t>
  </si>
  <si>
    <t>QUIRINO</t>
  </si>
  <si>
    <t>PERFORMANCE PLAYER</t>
  </si>
  <si>
    <t>FELIPE ALVES RAYMUNDO</t>
  </si>
  <si>
    <t>FELIPE ALVES</t>
  </si>
  <si>
    <t>GOALKEEPER</t>
  </si>
  <si>
    <t>PATRICK ALLAN DA SILVA MOL GONÇALVES</t>
  </si>
  <si>
    <t>PATRICK</t>
  </si>
  <si>
    <t>MIDFIELDER</t>
  </si>
  <si>
    <t xml:space="preserve">TIAGO MARQUES RESENDE </t>
  </si>
  <si>
    <t>TIAGO MARQUES</t>
  </si>
  <si>
    <t>JOSE RENATO DA SILVA JUNIOR</t>
  </si>
  <si>
    <t>RENATO</t>
  </si>
  <si>
    <t>ANDREY RAMOS DO NASCIMENTO</t>
  </si>
  <si>
    <t>ANDREY</t>
  </si>
  <si>
    <t>ALEX RUAN VASCONCELOS FERREIRA</t>
  </si>
  <si>
    <t>ALEX RUAN</t>
  </si>
  <si>
    <t>DEFENDER</t>
  </si>
  <si>
    <t>THIAGO RODRIGUES COELHO</t>
  </si>
  <si>
    <t>THIAGO COELHO</t>
  </si>
  <si>
    <t>JEFERSON SILVA DOS SANTOS</t>
  </si>
  <si>
    <t>JEFERSON</t>
  </si>
  <si>
    <t>FRANCISCO WELLINGTON BARBOSA DE LISBOA</t>
  </si>
  <si>
    <t>ROBINHO</t>
  </si>
  <si>
    <t>SQUAD BACKUP</t>
  </si>
  <si>
    <t>ERONILDO DOS SANTOS ROCHA</t>
  </si>
  <si>
    <t>ERON</t>
  </si>
  <si>
    <t>ADNIELLYSON DA SILVA OLIVEIRA</t>
  </si>
  <si>
    <t>SILVA</t>
  </si>
  <si>
    <t>EDSON MIRANDA MISSON</t>
  </si>
  <si>
    <t>EDSON MIRANDA</t>
  </si>
  <si>
    <t>FABIO GONÇALVES</t>
  </si>
  <si>
    <t>FABINHO</t>
  </si>
  <si>
    <t>JOSÉ MÁRIO DE BONA</t>
  </si>
  <si>
    <t>ZÉ MARIO</t>
  </si>
  <si>
    <t>RONALD SANT´ANNA RODRIGUES</t>
  </si>
  <si>
    <t>RONALD</t>
  </si>
  <si>
    <t>PEDRO ANTONIO MATHEUS MARTINS FAVELA</t>
  </si>
  <si>
    <t>PEDRO FAVELA</t>
  </si>
  <si>
    <t>EURICO NICOLAU DE LIMA NETO</t>
  </si>
  <si>
    <t>EURICO</t>
  </si>
  <si>
    <t>THIAGO ENNES MOREIRA</t>
  </si>
  <si>
    <t>THIAGO ENNES</t>
  </si>
  <si>
    <t>MATHEUS VINICIUS DA SILVA</t>
  </si>
  <si>
    <t>MATHEUS VINICIUS</t>
  </si>
  <si>
    <t>LEONARDO DE OLIVEIRA COSTA</t>
  </si>
  <si>
    <t>LEO COSTA</t>
  </si>
  <si>
    <t>WILLIAM AUGUSTO ALVES CONSERVA</t>
  </si>
  <si>
    <t>WILLIAM ALVES</t>
  </si>
  <si>
    <t>GABRIEL MARTINS RODRIGUES</t>
  </si>
  <si>
    <t>RODRIGUES</t>
  </si>
  <si>
    <t>PEDRO VICTOR DA SILVA SANTOS</t>
  </si>
  <si>
    <t>VITINHO</t>
  </si>
  <si>
    <t>ROKENEDY DOS SANTOS</t>
  </si>
  <si>
    <t>ROKENEDY</t>
  </si>
  <si>
    <t>GABRIEL GONCALVES DE SOUZA</t>
  </si>
  <si>
    <t>GABRIEL SOUZA</t>
  </si>
  <si>
    <t>ANTONILTON BATISTA DOS SANTOS</t>
  </si>
  <si>
    <t>NILTON</t>
  </si>
  <si>
    <t>THIAGO HENRIQUE CARVALHO DE OLIVEIRA</t>
  </si>
  <si>
    <t>THIAGO HENRIQUE</t>
  </si>
  <si>
    <t>YOUTH ACADEMY PROSPECT</t>
  </si>
  <si>
    <t>MATHEUS CASTILHO SILVA</t>
  </si>
  <si>
    <t>CASTILHO</t>
  </si>
  <si>
    <t>DAVID NASCIMENTO DA SILVA</t>
  </si>
  <si>
    <t>CABEÇA</t>
  </si>
  <si>
    <t>RUAN ROBERT FREITAS DE SOUZA</t>
  </si>
  <si>
    <t>RUAN</t>
  </si>
  <si>
    <t>Squad STATUS</t>
  </si>
  <si>
    <t>#</t>
  </si>
  <si>
    <t>LOAN-INS</t>
  </si>
  <si>
    <t>Grand Total</t>
  </si>
  <si>
    <t>Contingency / Severance</t>
  </si>
  <si>
    <t>Total</t>
  </si>
  <si>
    <t>SERIES B PROPOSED</t>
  </si>
  <si>
    <t>Budget Serie B</t>
  </si>
  <si>
    <t>AVERAGE ANNUAL COST (GROSS)</t>
  </si>
  <si>
    <t>Net</t>
  </si>
  <si>
    <t>Net Anual (x13)</t>
  </si>
  <si>
    <t>Numero Jogadores</t>
  </si>
  <si>
    <t>Status</t>
  </si>
  <si>
    <t>Individual - Mensal</t>
  </si>
  <si>
    <t>Total - Mensal</t>
  </si>
  <si>
    <t>proposta</t>
  </si>
  <si>
    <t>proposta rapha</t>
  </si>
  <si>
    <t>MAIN PLAYER</t>
  </si>
  <si>
    <t>SQUAD 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</si>
</sst>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FFF00"/>
        <bgColor rgb="FFBDD6EE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1" fillId="0" borderId="0" xfId="1"/>
    <xf numFmtId="4" fontId="1" fillId="0" borderId="0" xfId="1" applyNumberFormat="1"/>
    <xf numFmtId="0" fontId="4" fillId="0" borderId="0" xfId="1" applyFont="1" applyAlignment="1">
      <alignment horizontal="left" indent="1"/>
    </xf>
    <xf numFmtId="0" fontId="2" fillId="0" borderId="2" xfId="1" applyFont="1" applyBorder="1"/>
    <xf numFmtId="3" fontId="1" fillId="0" borderId="0" xfId="1" applyNumberFormat="1"/>
    <xf numFmtId="4" fontId="5" fillId="0" borderId="0" xfId="1" applyNumberFormat="1" applyFont="1"/>
    <xf numFmtId="0" fontId="2" fillId="0" borderId="0" xfId="1" applyFont="1"/>
    <xf numFmtId="3" fontId="2" fillId="0" borderId="0" xfId="1" applyNumberFormat="1" applyFont="1"/>
    <xf numFmtId="4" fontId="1" fillId="0" borderId="0" xfId="1" applyNumberFormat="1" applyAlignment="1">
      <alignment horizontal="center"/>
    </xf>
    <xf numFmtId="0" fontId="3" fillId="3" borderId="0" xfId="1" applyFont="1" applyFill="1" applyAlignment="1">
      <alignment horizontal="center" vertical="center"/>
    </xf>
    <xf numFmtId="0" fontId="1" fillId="0" borderId="0" xfId="1" applyAlignment="1">
      <alignment horizontal="center"/>
    </xf>
    <xf numFmtId="0" fontId="1" fillId="4" borderId="0" xfId="1" applyFill="1"/>
    <xf numFmtId="3" fontId="1" fillId="0" borderId="0" xfId="1" applyNumberFormat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Border="1" applyAlignment="1">
      <alignment horizontal="right"/>
    </xf>
    <xf numFmtId="3" fontId="1" fillId="0" borderId="3" xfId="1" applyNumberFormat="1" applyBorder="1" applyAlignment="1">
      <alignment horizontal="center"/>
    </xf>
    <xf numFmtId="0" fontId="6" fillId="5" borderId="3" xfId="1" applyFont="1" applyFill="1" applyBorder="1" applyAlignment="1">
      <alignment horizontal="center"/>
    </xf>
    <xf numFmtId="0" fontId="6" fillId="6" borderId="3" xfId="1" applyFont="1" applyFill="1" applyBorder="1" applyAlignment="1">
      <alignment horizontal="center"/>
    </xf>
    <xf numFmtId="0" fontId="1" fillId="7" borderId="0" xfId="1" applyFill="1"/>
    <xf numFmtId="4" fontId="1" fillId="4" borderId="0" xfId="1" applyNumberFormat="1" applyFill="1"/>
    <xf numFmtId="4" fontId="1" fillId="4" borderId="0" xfId="1" applyNumberFormat="1" applyFill="1" applyAlignment="1">
      <alignment horizontal="center"/>
    </xf>
  </cellXfs>
  <cellStyles count="2">
    <cellStyle name="Normal" xfId="0" builtinId="0"/>
    <cellStyle name="Normal 9" xfId="1" xr:uid="{920CF2EC-A337-4FB5-9847-3FBD0AF86D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8D0D846-F8BF-5648-B10C-3949C69439F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254f830-f6dd-4069-9cfc-bc91309357cb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FB5A338-A09B-014D-9FBF-4B59B0B8C884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1907c972-fe9c-4560-a6c4-5347b0f0b73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F803-5A07-40F1-A102-4FCEB5A37D78}">
  <sheetPr>
    <tabColor rgb="FFC00000"/>
  </sheetPr>
  <dimension ref="B2:P70"/>
  <sheetViews>
    <sheetView showGridLines="0" tabSelected="1" topLeftCell="A3" zoomScale="132" zoomScaleNormal="132" workbookViewId="0">
      <selection activeCell="B20" sqref="B20"/>
    </sheetView>
  </sheetViews>
  <sheetFormatPr baseColWidth="10" defaultColWidth="10.83203125" defaultRowHeight="15" x14ac:dyDescent="0.2"/>
  <cols>
    <col min="1" max="1" width="1.83203125" style="2" customWidth="1"/>
    <col min="2" max="2" width="36.1640625" style="2" bestFit="1" customWidth="1"/>
    <col min="3" max="3" width="16" style="2" bestFit="1" customWidth="1"/>
    <col min="4" max="4" width="10.83203125" style="2"/>
    <col min="5" max="5" width="21" style="2" bestFit="1" customWidth="1"/>
    <col min="6" max="6" width="19.6640625" style="2" bestFit="1" customWidth="1"/>
    <col min="7" max="7" width="22.33203125" style="2" bestFit="1" customWidth="1"/>
    <col min="8" max="9" width="19.1640625" style="12" customWidth="1"/>
    <col min="10" max="10" width="7.1640625" style="2" customWidth="1"/>
    <col min="11" max="11" width="23.33203125" style="2" bestFit="1" customWidth="1"/>
    <col min="12" max="13" width="20.83203125" style="2" customWidth="1"/>
    <col min="14" max="14" width="28" style="2" bestFit="1" customWidth="1"/>
    <col min="15" max="15" width="12.5" style="2" bestFit="1" customWidth="1"/>
    <col min="16" max="16" width="27.83203125" style="2" bestFit="1" customWidth="1"/>
    <col min="17" max="17" width="21" style="2" customWidth="1"/>
    <col min="18" max="16384" width="10.83203125" style="2"/>
  </cols>
  <sheetData>
    <row r="2" spans="2:14" ht="16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1" t="s">
        <v>89</v>
      </c>
      <c r="I2" s="11" t="s">
        <v>90</v>
      </c>
      <c r="K2" s="8" t="s">
        <v>87</v>
      </c>
    </row>
    <row r="3" spans="2:14" x14ac:dyDescent="0.2">
      <c r="B3" s="20" t="s">
        <v>6</v>
      </c>
      <c r="C3" s="2" t="s">
        <v>7</v>
      </c>
      <c r="D3" s="2" t="s">
        <v>8</v>
      </c>
      <c r="E3" s="3">
        <v>165132.60914666668</v>
      </c>
      <c r="F3" s="3">
        <v>1981591.3097600003</v>
      </c>
      <c r="G3" s="2" t="s">
        <v>9</v>
      </c>
      <c r="H3" s="10">
        <f>E3/$M$17</f>
        <v>134590.8413107628</v>
      </c>
      <c r="I3" s="10">
        <f>H3*13</f>
        <v>1749680.9370399164</v>
      </c>
    </row>
    <row r="4" spans="2:14" x14ac:dyDescent="0.2">
      <c r="B4" s="20" t="s">
        <v>10</v>
      </c>
      <c r="C4" s="2" t="s">
        <v>11</v>
      </c>
      <c r="D4" s="2" t="s">
        <v>8</v>
      </c>
      <c r="E4" s="3">
        <v>134801.18872000001</v>
      </c>
      <c r="F4" s="3">
        <v>1617614.26464</v>
      </c>
      <c r="G4" s="2" t="s">
        <v>9</v>
      </c>
      <c r="H4" s="10">
        <f t="shared" ref="H4:H35" si="0">E4/$M$17</f>
        <v>109869.30742068966</v>
      </c>
      <c r="I4" s="10">
        <f t="shared" ref="I4:I36" si="1">H4*13</f>
        <v>1428300.9964689654</v>
      </c>
      <c r="K4" s="4" t="s">
        <v>86</v>
      </c>
    </row>
    <row r="5" spans="2:14" x14ac:dyDescent="0.2">
      <c r="B5" s="20" t="s">
        <v>12</v>
      </c>
      <c r="C5" s="2" t="s">
        <v>13</v>
      </c>
      <c r="D5" s="2" t="s">
        <v>8</v>
      </c>
      <c r="E5" s="3">
        <v>125366.89893333336</v>
      </c>
      <c r="F5" s="3">
        <v>1504402.7872000004</v>
      </c>
      <c r="G5" s="2" t="s">
        <v>14</v>
      </c>
      <c r="H5" s="10">
        <f t="shared" si="0"/>
        <v>102179.91762591433</v>
      </c>
      <c r="I5" s="10">
        <f t="shared" si="1"/>
        <v>1328338.9291368863</v>
      </c>
      <c r="K5" s="5" t="s">
        <v>80</v>
      </c>
      <c r="L5" s="5" t="s">
        <v>81</v>
      </c>
      <c r="M5" s="5" t="s">
        <v>4</v>
      </c>
      <c r="N5" s="5" t="s">
        <v>88</v>
      </c>
    </row>
    <row r="6" spans="2:14" x14ac:dyDescent="0.2">
      <c r="B6" s="20" t="s">
        <v>15</v>
      </c>
      <c r="C6" s="2" t="s">
        <v>16</v>
      </c>
      <c r="D6" s="2" t="s">
        <v>17</v>
      </c>
      <c r="E6" s="3">
        <v>100134.52205333333</v>
      </c>
      <c r="F6" s="3">
        <v>1201614.26464</v>
      </c>
      <c r="G6" s="2" t="s">
        <v>14</v>
      </c>
      <c r="H6" s="10">
        <f t="shared" si="0"/>
        <v>81614.343993312432</v>
      </c>
      <c r="I6" s="10">
        <f t="shared" si="1"/>
        <v>1060986.4719130616</v>
      </c>
      <c r="K6" s="2" t="s">
        <v>9</v>
      </c>
      <c r="L6" s="2">
        <v>2</v>
      </c>
      <c r="M6" s="6">
        <f>N6*L6</f>
        <v>6400000</v>
      </c>
      <c r="N6" s="7">
        <v>3200000</v>
      </c>
    </row>
    <row r="7" spans="2:14" x14ac:dyDescent="0.2">
      <c r="B7" s="20" t="s">
        <v>18</v>
      </c>
      <c r="C7" s="2" t="s">
        <v>19</v>
      </c>
      <c r="D7" s="2" t="s">
        <v>20</v>
      </c>
      <c r="E7" s="3">
        <v>93534.522053333334</v>
      </c>
      <c r="F7" s="3">
        <v>1122414.26464</v>
      </c>
      <c r="G7" s="2" t="s">
        <v>14</v>
      </c>
      <c r="H7" s="10">
        <f t="shared" si="0"/>
        <v>76235.033648484838</v>
      </c>
      <c r="I7" s="10">
        <f t="shared" si="1"/>
        <v>991055.43743030285</v>
      </c>
      <c r="K7" s="2" t="s">
        <v>14</v>
      </c>
      <c r="L7" s="2">
        <v>8</v>
      </c>
      <c r="M7" s="6">
        <f t="shared" ref="M7:M12" si="2">N7*L7</f>
        <v>16000000</v>
      </c>
      <c r="N7" s="7">
        <v>2000000</v>
      </c>
    </row>
    <row r="8" spans="2:14" x14ac:dyDescent="0.2">
      <c r="B8" s="20" t="s">
        <v>21</v>
      </c>
      <c r="C8" s="2" t="s">
        <v>22</v>
      </c>
      <c r="D8" s="2" t="s">
        <v>8</v>
      </c>
      <c r="E8" s="3">
        <v>83792.377946666675</v>
      </c>
      <c r="F8" s="3">
        <v>1005508.5353600001</v>
      </c>
      <c r="G8" s="2" t="s">
        <v>14</v>
      </c>
      <c r="H8" s="10">
        <f t="shared" si="0"/>
        <v>68294.72810700105</v>
      </c>
      <c r="I8" s="10">
        <f t="shared" si="1"/>
        <v>887831.46539101365</v>
      </c>
      <c r="K8" s="2" t="s">
        <v>36</v>
      </c>
      <c r="L8" s="2">
        <v>5</v>
      </c>
      <c r="M8" s="6">
        <f t="shared" si="2"/>
        <v>5500000</v>
      </c>
      <c r="N8" s="7">
        <v>1100000</v>
      </c>
    </row>
    <row r="9" spans="2:14" x14ac:dyDescent="0.2">
      <c r="B9" s="13" t="s">
        <v>23</v>
      </c>
      <c r="C9" s="2" t="s">
        <v>24</v>
      </c>
      <c r="D9" s="2" t="s">
        <v>8</v>
      </c>
      <c r="E9" s="3">
        <v>76599.275813333326</v>
      </c>
      <c r="F9" s="3">
        <v>919191.30975999986</v>
      </c>
      <c r="G9" s="2" t="s">
        <v>14</v>
      </c>
      <c r="H9" s="10">
        <f t="shared" si="0"/>
        <v>62432.011634691735</v>
      </c>
      <c r="I9" s="10">
        <f t="shared" si="1"/>
        <v>811616.15125099255</v>
      </c>
      <c r="K9" s="2" t="s">
        <v>73</v>
      </c>
      <c r="L9" s="2">
        <v>8</v>
      </c>
      <c r="M9" s="6">
        <f t="shared" si="2"/>
        <v>2400000</v>
      </c>
      <c r="N9" s="7">
        <v>300000</v>
      </c>
    </row>
    <row r="10" spans="2:14" x14ac:dyDescent="0.2">
      <c r="B10" s="20" t="s">
        <v>25</v>
      </c>
      <c r="C10" s="2" t="s">
        <v>26</v>
      </c>
      <c r="D10" s="2" t="s">
        <v>20</v>
      </c>
      <c r="E10" s="3">
        <v>75633.565600000016</v>
      </c>
      <c r="F10" s="3">
        <v>907602.78720000014</v>
      </c>
      <c r="G10" s="2" t="s">
        <v>14</v>
      </c>
      <c r="H10" s="10">
        <f t="shared" si="0"/>
        <v>61644.912401253925</v>
      </c>
      <c r="I10" s="10">
        <f t="shared" si="1"/>
        <v>801383.86121630098</v>
      </c>
      <c r="K10" s="2" t="s">
        <v>82</v>
      </c>
      <c r="L10" s="2">
        <v>8</v>
      </c>
      <c r="M10" s="6">
        <f t="shared" si="2"/>
        <v>1600000</v>
      </c>
      <c r="N10" s="7">
        <v>200000</v>
      </c>
    </row>
    <row r="11" spans="2:14" x14ac:dyDescent="0.2">
      <c r="B11" s="20" t="s">
        <v>27</v>
      </c>
      <c r="C11" s="2" t="s">
        <v>28</v>
      </c>
      <c r="D11" s="2" t="s">
        <v>29</v>
      </c>
      <c r="E11" s="3">
        <v>69665.942479999998</v>
      </c>
      <c r="F11" s="3">
        <v>835991.30975999997</v>
      </c>
      <c r="G11" s="2" t="s">
        <v>14</v>
      </c>
      <c r="H11" s="10">
        <f t="shared" si="0"/>
        <v>56781.018949216297</v>
      </c>
      <c r="I11" s="10">
        <f t="shared" si="1"/>
        <v>738153.24633981183</v>
      </c>
      <c r="K11" s="8" t="s">
        <v>83</v>
      </c>
      <c r="L11" s="9">
        <f>SUM(L6:L10)</f>
        <v>31</v>
      </c>
      <c r="M11" s="9">
        <f>SUM(M6:M10)</f>
        <v>31900000</v>
      </c>
      <c r="N11" s="9">
        <f>M11/L11</f>
        <v>1029032.2580645161</v>
      </c>
    </row>
    <row r="12" spans="2:14" x14ac:dyDescent="0.2">
      <c r="B12" s="20" t="s">
        <v>30</v>
      </c>
      <c r="C12" s="2" t="s">
        <v>31</v>
      </c>
      <c r="D12" s="2" t="s">
        <v>17</v>
      </c>
      <c r="E12" s="3">
        <v>65893.334399999992</v>
      </c>
      <c r="F12" s="3">
        <v>790720.01279999991</v>
      </c>
      <c r="G12" s="2" t="s">
        <v>14</v>
      </c>
      <c r="H12" s="10">
        <f t="shared" si="0"/>
        <v>53706.165968652029</v>
      </c>
      <c r="I12" s="10">
        <f t="shared" si="1"/>
        <v>698180.15759247635</v>
      </c>
      <c r="K12" s="2" t="s">
        <v>84</v>
      </c>
      <c r="L12" s="2">
        <v>2</v>
      </c>
      <c r="M12" s="6">
        <f t="shared" si="2"/>
        <v>2000000</v>
      </c>
      <c r="N12" s="7">
        <v>1000000</v>
      </c>
    </row>
    <row r="13" spans="2:14" x14ac:dyDescent="0.2">
      <c r="B13" s="20" t="s">
        <v>32</v>
      </c>
      <c r="C13" s="2" t="s">
        <v>33</v>
      </c>
      <c r="D13" s="2" t="s">
        <v>29</v>
      </c>
      <c r="E13" s="3">
        <v>65523.21880000001</v>
      </c>
      <c r="F13" s="3">
        <v>786278.62560000014</v>
      </c>
      <c r="G13" s="2" t="s">
        <v>14</v>
      </c>
      <c r="H13" s="10">
        <f t="shared" si="0"/>
        <v>53404.504351097181</v>
      </c>
      <c r="I13" s="10">
        <f t="shared" si="1"/>
        <v>694258.5565642633</v>
      </c>
      <c r="K13" s="8" t="s">
        <v>85</v>
      </c>
      <c r="L13" s="9">
        <f>SUM(L11:L12)</f>
        <v>33</v>
      </c>
      <c r="M13" s="9">
        <f t="shared" ref="M13:N13" si="3">SUM(M11:M12)</f>
        <v>33900000</v>
      </c>
      <c r="N13" s="9">
        <f t="shared" si="3"/>
        <v>2029032.2580645161</v>
      </c>
    </row>
    <row r="14" spans="2:14" x14ac:dyDescent="0.2">
      <c r="B14" s="2" t="s">
        <v>34</v>
      </c>
      <c r="C14" s="2" t="s">
        <v>35</v>
      </c>
      <c r="D14" s="2" t="s">
        <v>8</v>
      </c>
      <c r="E14" s="3">
        <v>62220.018799999991</v>
      </c>
      <c r="F14" s="3">
        <v>746640.22559999989</v>
      </c>
      <c r="G14" s="2" t="s">
        <v>36</v>
      </c>
      <c r="H14" s="10">
        <f t="shared" si="0"/>
        <v>50712.241028213153</v>
      </c>
      <c r="I14" s="10">
        <f t="shared" si="1"/>
        <v>659259.13336677104</v>
      </c>
      <c r="M14" s="9">
        <v>26000000</v>
      </c>
    </row>
    <row r="15" spans="2:14" x14ac:dyDescent="0.2">
      <c r="B15" s="2" t="s">
        <v>37</v>
      </c>
      <c r="C15" s="2" t="s">
        <v>38</v>
      </c>
      <c r="D15" s="2" t="s">
        <v>8</v>
      </c>
      <c r="E15" s="3">
        <v>61700.232266666666</v>
      </c>
      <c r="F15" s="3">
        <v>740402.78720000002</v>
      </c>
      <c r="G15" s="2" t="s">
        <v>36</v>
      </c>
      <c r="H15" s="10">
        <f t="shared" si="0"/>
        <v>50288.590562173456</v>
      </c>
      <c r="I15" s="10">
        <f t="shared" si="1"/>
        <v>653751.67730825488</v>
      </c>
      <c r="M15" s="9">
        <f>M14/13</f>
        <v>2000000</v>
      </c>
    </row>
    <row r="16" spans="2:14" x14ac:dyDescent="0.2">
      <c r="B16" s="2" t="s">
        <v>39</v>
      </c>
      <c r="C16" s="2" t="s">
        <v>40</v>
      </c>
      <c r="D16" s="2" t="s">
        <v>20</v>
      </c>
      <c r="E16" s="3">
        <v>59925.711279999996</v>
      </c>
      <c r="F16" s="3">
        <v>719108.53535999998</v>
      </c>
      <c r="G16" s="2" t="s">
        <v>36</v>
      </c>
      <c r="H16" s="10">
        <f t="shared" si="0"/>
        <v>48842.272516614416</v>
      </c>
      <c r="I16" s="10">
        <f t="shared" si="1"/>
        <v>634949.54271598742</v>
      </c>
    </row>
    <row r="17" spans="2:16" x14ac:dyDescent="0.2">
      <c r="B17" s="2" t="s">
        <v>41</v>
      </c>
      <c r="C17" s="2" t="s">
        <v>42</v>
      </c>
      <c r="D17" s="2" t="s">
        <v>29</v>
      </c>
      <c r="E17" s="3">
        <v>59925.711279999996</v>
      </c>
      <c r="F17" s="3">
        <v>719108.53535999998</v>
      </c>
      <c r="G17" s="2" t="s">
        <v>36</v>
      </c>
      <c r="H17" s="10">
        <f t="shared" si="0"/>
        <v>48842.272516614416</v>
      </c>
      <c r="I17" s="10">
        <f t="shared" si="1"/>
        <v>634949.54271598742</v>
      </c>
      <c r="M17" s="2">
        <f>M11/M14</f>
        <v>1.226923076923077</v>
      </c>
    </row>
    <row r="18" spans="2:16" x14ac:dyDescent="0.2">
      <c r="B18" s="2" t="s">
        <v>43</v>
      </c>
      <c r="C18" s="2" t="s">
        <v>44</v>
      </c>
      <c r="D18" s="2" t="s">
        <v>20</v>
      </c>
      <c r="E18" s="3">
        <v>59925.711279999996</v>
      </c>
      <c r="F18" s="3">
        <v>719108.53535999998</v>
      </c>
      <c r="G18" s="2" t="s">
        <v>36</v>
      </c>
      <c r="H18" s="10">
        <f t="shared" si="0"/>
        <v>48842.272516614416</v>
      </c>
      <c r="I18" s="10">
        <f t="shared" si="1"/>
        <v>634949.54271598742</v>
      </c>
    </row>
    <row r="19" spans="2:16" x14ac:dyDescent="0.2">
      <c r="B19" s="2" t="s">
        <v>45</v>
      </c>
      <c r="C19" s="2" t="s">
        <v>46</v>
      </c>
      <c r="D19" s="2" t="s">
        <v>29</v>
      </c>
      <c r="E19" s="3">
        <v>59925.711279999996</v>
      </c>
      <c r="F19" s="3">
        <v>719108.53535999998</v>
      </c>
      <c r="G19" s="2" t="s">
        <v>36</v>
      </c>
      <c r="H19" s="10">
        <f t="shared" si="0"/>
        <v>48842.272516614416</v>
      </c>
      <c r="I19" s="10">
        <f t="shared" si="1"/>
        <v>634949.54271598742</v>
      </c>
    </row>
    <row r="20" spans="2:16" x14ac:dyDescent="0.2">
      <c r="B20" s="13" t="s">
        <v>47</v>
      </c>
      <c r="C20" s="13" t="s">
        <v>48</v>
      </c>
      <c r="D20" s="13" t="s">
        <v>8</v>
      </c>
      <c r="E20" s="21">
        <v>58700.232266666666</v>
      </c>
      <c r="F20" s="21">
        <v>704402.78720000002</v>
      </c>
      <c r="G20" s="13" t="s">
        <v>36</v>
      </c>
      <c r="H20" s="22">
        <f t="shared" si="0"/>
        <v>47843.449496342735</v>
      </c>
      <c r="I20" s="22">
        <f t="shared" si="1"/>
        <v>621964.84345245559</v>
      </c>
    </row>
    <row r="21" spans="2:16" x14ac:dyDescent="0.2">
      <c r="B21" s="13" t="s">
        <v>49</v>
      </c>
      <c r="C21" s="13" t="s">
        <v>50</v>
      </c>
      <c r="D21" s="13" t="s">
        <v>20</v>
      </c>
      <c r="E21" s="21">
        <v>57700.232266666666</v>
      </c>
      <c r="F21" s="21">
        <v>692402.78720000002</v>
      </c>
      <c r="G21" s="13" t="s">
        <v>36</v>
      </c>
      <c r="H21" s="22">
        <f t="shared" si="0"/>
        <v>47028.402474399161</v>
      </c>
      <c r="I21" s="22">
        <f t="shared" si="1"/>
        <v>611369.23216718913</v>
      </c>
    </row>
    <row r="22" spans="2:16" x14ac:dyDescent="0.2">
      <c r="B22" s="13" t="s">
        <v>51</v>
      </c>
      <c r="C22" s="13" t="s">
        <v>52</v>
      </c>
      <c r="D22" s="13" t="s">
        <v>29</v>
      </c>
      <c r="E22" s="21">
        <v>50734.522053333327</v>
      </c>
      <c r="F22" s="21">
        <v>608814.26463999995</v>
      </c>
      <c r="G22" s="13" t="s">
        <v>36</v>
      </c>
      <c r="H22" s="22">
        <f t="shared" si="0"/>
        <v>41351.021109299887</v>
      </c>
      <c r="I22" s="22">
        <f t="shared" si="1"/>
        <v>537563.27442089852</v>
      </c>
      <c r="K22" s="18" t="s">
        <v>92</v>
      </c>
      <c r="L22" s="18" t="s">
        <v>91</v>
      </c>
      <c r="M22" s="18" t="s">
        <v>93</v>
      </c>
      <c r="N22" s="18" t="s">
        <v>94</v>
      </c>
      <c r="O22" s="19" t="s">
        <v>4</v>
      </c>
      <c r="P22" s="19" t="s">
        <v>88</v>
      </c>
    </row>
    <row r="23" spans="2:16" x14ac:dyDescent="0.2">
      <c r="B23" s="2" t="s">
        <v>53</v>
      </c>
      <c r="C23" s="2" t="s">
        <v>54</v>
      </c>
      <c r="D23" s="2" t="s">
        <v>29</v>
      </c>
      <c r="E23" s="3">
        <v>46766.898933333337</v>
      </c>
      <c r="F23" s="3">
        <v>561202.78720000002</v>
      </c>
      <c r="G23" s="2" t="s">
        <v>36</v>
      </c>
      <c r="H23" s="10">
        <f t="shared" si="0"/>
        <v>38117.221701149429</v>
      </c>
      <c r="I23" s="10">
        <f t="shared" si="1"/>
        <v>495523.88211494259</v>
      </c>
      <c r="K23" s="16" t="s">
        <v>9</v>
      </c>
      <c r="L23" s="15">
        <v>2</v>
      </c>
      <c r="M23" s="17">
        <f>N23/L23</f>
        <v>246153.84615384616</v>
      </c>
      <c r="N23" s="17">
        <f>M6/13</f>
        <v>492307.69230769231</v>
      </c>
      <c r="O23" s="17">
        <f>N23*13</f>
        <v>6400000</v>
      </c>
      <c r="P23" s="17">
        <f>O23/L23</f>
        <v>3200000</v>
      </c>
    </row>
    <row r="24" spans="2:16" x14ac:dyDescent="0.2">
      <c r="B24" s="13" t="s">
        <v>55</v>
      </c>
      <c r="C24" s="13" t="s">
        <v>56</v>
      </c>
      <c r="D24" s="13" t="s">
        <v>29</v>
      </c>
      <c r="E24" s="21">
        <v>39799.275813333334</v>
      </c>
      <c r="F24" s="21">
        <v>477591.30976000003</v>
      </c>
      <c r="G24" s="13" t="s">
        <v>36</v>
      </c>
      <c r="H24" s="22">
        <f t="shared" si="0"/>
        <v>32438.281227168231</v>
      </c>
      <c r="I24" s="22">
        <f t="shared" si="1"/>
        <v>421697.65595318697</v>
      </c>
      <c r="K24" s="16" t="s">
        <v>14</v>
      </c>
      <c r="L24" s="15">
        <v>8</v>
      </c>
      <c r="M24" s="17">
        <f t="shared" ref="M24:M27" si="4">N24/L24</f>
        <v>153846.15384615384</v>
      </c>
      <c r="N24" s="17">
        <f t="shared" ref="N24:N27" si="5">M7/13</f>
        <v>1230769.2307692308</v>
      </c>
      <c r="O24" s="17">
        <f t="shared" ref="O24:O27" si="6">N24*13</f>
        <v>16000000</v>
      </c>
      <c r="P24" s="17">
        <f t="shared" ref="P24:P27" si="7">O24/L24</f>
        <v>2000000</v>
      </c>
    </row>
    <row r="25" spans="2:16" x14ac:dyDescent="0.2">
      <c r="B25" s="2" t="s">
        <v>57</v>
      </c>
      <c r="C25" s="2" t="s">
        <v>58</v>
      </c>
      <c r="D25" s="2" t="s">
        <v>20</v>
      </c>
      <c r="E25" s="3">
        <v>34831.652693333337</v>
      </c>
      <c r="F25" s="3">
        <v>417979.83232000005</v>
      </c>
      <c r="G25" s="2" t="s">
        <v>36</v>
      </c>
      <c r="H25" s="10">
        <f t="shared" si="0"/>
        <v>28389.434797074191</v>
      </c>
      <c r="I25" s="10">
        <f t="shared" si="1"/>
        <v>369062.65236196446</v>
      </c>
      <c r="K25" s="16" t="s">
        <v>36</v>
      </c>
      <c r="L25" s="15">
        <v>5</v>
      </c>
      <c r="M25" s="17">
        <f t="shared" si="4"/>
        <v>84615.38461538461</v>
      </c>
      <c r="N25" s="17">
        <f t="shared" si="5"/>
        <v>423076.92307692306</v>
      </c>
      <c r="O25" s="17">
        <f t="shared" si="6"/>
        <v>5500000</v>
      </c>
      <c r="P25" s="17">
        <f t="shared" si="7"/>
        <v>1100000</v>
      </c>
    </row>
    <row r="26" spans="2:16" x14ac:dyDescent="0.2">
      <c r="B26" s="2" t="s">
        <v>59</v>
      </c>
      <c r="C26" s="2" t="s">
        <v>60</v>
      </c>
      <c r="D26" s="2" t="s">
        <v>29</v>
      </c>
      <c r="E26" s="3">
        <v>34254.522053333334</v>
      </c>
      <c r="F26" s="3">
        <v>411054.26464000001</v>
      </c>
      <c r="G26" s="2" t="s">
        <v>36</v>
      </c>
      <c r="H26" s="10">
        <f t="shared" si="0"/>
        <v>27919.046187669799</v>
      </c>
      <c r="I26" s="10">
        <f t="shared" si="1"/>
        <v>362947.6004397074</v>
      </c>
      <c r="K26" s="16" t="s">
        <v>73</v>
      </c>
      <c r="L26" s="15">
        <v>8</v>
      </c>
      <c r="M26" s="17">
        <f t="shared" si="4"/>
        <v>23076.923076923078</v>
      </c>
      <c r="N26" s="17">
        <f t="shared" si="5"/>
        <v>184615.38461538462</v>
      </c>
      <c r="O26" s="17">
        <f t="shared" si="6"/>
        <v>2400000</v>
      </c>
      <c r="P26" s="17">
        <f t="shared" si="7"/>
        <v>300000</v>
      </c>
    </row>
    <row r="27" spans="2:16" x14ac:dyDescent="0.2">
      <c r="B27" s="2" t="s">
        <v>61</v>
      </c>
      <c r="C27" s="2" t="s">
        <v>62</v>
      </c>
      <c r="D27" s="2" t="s">
        <v>29</v>
      </c>
      <c r="E27" s="3">
        <v>30867.855386666666</v>
      </c>
      <c r="F27" s="3">
        <v>370414.26464000001</v>
      </c>
      <c r="G27" s="2" t="s">
        <v>36</v>
      </c>
      <c r="H27" s="10">
        <f t="shared" si="0"/>
        <v>25158.753606687562</v>
      </c>
      <c r="I27" s="10">
        <f t="shared" si="1"/>
        <v>327063.79688693827</v>
      </c>
      <c r="K27" s="16" t="s">
        <v>82</v>
      </c>
      <c r="L27" s="15">
        <v>8</v>
      </c>
      <c r="M27" s="17">
        <f t="shared" si="4"/>
        <v>15384.615384615385</v>
      </c>
      <c r="N27" s="17">
        <f t="shared" si="5"/>
        <v>123076.92307692308</v>
      </c>
      <c r="O27" s="17">
        <f t="shared" si="6"/>
        <v>1600000</v>
      </c>
      <c r="P27" s="17">
        <f t="shared" si="7"/>
        <v>200000</v>
      </c>
    </row>
    <row r="28" spans="2:16" x14ac:dyDescent="0.2">
      <c r="B28" s="2" t="s">
        <v>63</v>
      </c>
      <c r="C28" s="2" t="s">
        <v>64</v>
      </c>
      <c r="D28" s="2" t="s">
        <v>20</v>
      </c>
      <c r="E28" s="3">
        <v>30801.188720000006</v>
      </c>
      <c r="F28" s="3">
        <v>369614.26464000007</v>
      </c>
      <c r="G28" s="2" t="s">
        <v>36</v>
      </c>
      <c r="H28" s="10">
        <f t="shared" si="0"/>
        <v>25104.417138557998</v>
      </c>
      <c r="I28" s="10">
        <f t="shared" si="1"/>
        <v>326357.42280125397</v>
      </c>
      <c r="L28" s="12">
        <f>SUM(L23:L27)</f>
        <v>31</v>
      </c>
      <c r="N28" s="14">
        <f>SUM(N23:N27)</f>
        <v>2453846.1538461535</v>
      </c>
      <c r="O28" s="14">
        <f t="shared" ref="O28:P28" si="8">SUM(O23:O27)</f>
        <v>31900000</v>
      </c>
      <c r="P28" s="14">
        <f t="shared" si="8"/>
        <v>6800000</v>
      </c>
    </row>
    <row r="29" spans="2:16" x14ac:dyDescent="0.2">
      <c r="B29" s="2" t="s">
        <v>65</v>
      </c>
      <c r="C29" s="2" t="s">
        <v>66</v>
      </c>
      <c r="D29" s="2" t="s">
        <v>17</v>
      </c>
      <c r="E29" s="3">
        <v>22036.010877866665</v>
      </c>
      <c r="F29" s="3">
        <v>264432.1305344</v>
      </c>
      <c r="G29" s="2" t="s">
        <v>36</v>
      </c>
      <c r="H29" s="10">
        <f t="shared" si="0"/>
        <v>17960.385041521418</v>
      </c>
      <c r="I29" s="10">
        <f t="shared" si="1"/>
        <v>233485.00553977845</v>
      </c>
    </row>
    <row r="30" spans="2:16" x14ac:dyDescent="0.2">
      <c r="B30" s="13" t="s">
        <v>67</v>
      </c>
      <c r="C30" s="13" t="s">
        <v>68</v>
      </c>
      <c r="D30" s="13" t="s">
        <v>17</v>
      </c>
      <c r="E30" s="21">
        <v>20900.23782026667</v>
      </c>
      <c r="F30" s="21">
        <v>250802.85384320005</v>
      </c>
      <c r="G30" s="13" t="s">
        <v>36</v>
      </c>
      <c r="H30" s="22">
        <f t="shared" si="0"/>
        <v>17034.676593320797</v>
      </c>
      <c r="I30" s="22">
        <f t="shared" si="1"/>
        <v>221450.79571317037</v>
      </c>
    </row>
    <row r="31" spans="2:16" x14ac:dyDescent="0.2">
      <c r="B31" s="2" t="s">
        <v>69</v>
      </c>
      <c r="C31" s="2" t="s">
        <v>70</v>
      </c>
      <c r="D31" s="2" t="s">
        <v>20</v>
      </c>
      <c r="E31" s="3">
        <v>17718.890599466667</v>
      </c>
      <c r="F31" s="3">
        <v>212626.68719360002</v>
      </c>
      <c r="G31" s="2" t="s">
        <v>36</v>
      </c>
      <c r="H31" s="10">
        <f t="shared" si="0"/>
        <v>14441.729015239289</v>
      </c>
      <c r="I31" s="10">
        <f t="shared" si="1"/>
        <v>187742.47719811075</v>
      </c>
    </row>
    <row r="32" spans="2:16" x14ac:dyDescent="0.2">
      <c r="B32" s="2" t="s">
        <v>71</v>
      </c>
      <c r="C32" s="2" t="s">
        <v>72</v>
      </c>
      <c r="D32" s="2" t="s">
        <v>17</v>
      </c>
      <c r="E32" s="3">
        <v>4756.3953493333329</v>
      </c>
      <c r="F32" s="3">
        <v>57076.744191999991</v>
      </c>
      <c r="G32" s="2" t="s">
        <v>73</v>
      </c>
      <c r="H32" s="10">
        <f t="shared" si="0"/>
        <v>3876.6858646603964</v>
      </c>
      <c r="I32" s="10">
        <f t="shared" si="1"/>
        <v>50396.916240585153</v>
      </c>
    </row>
    <row r="33" spans="2:16" x14ac:dyDescent="0.2">
      <c r="B33" s="2" t="s">
        <v>74</v>
      </c>
      <c r="C33" s="2" t="s">
        <v>75</v>
      </c>
      <c r="D33" s="2" t="s">
        <v>20</v>
      </c>
      <c r="E33" s="3">
        <v>4741.9135573333324</v>
      </c>
      <c r="F33" s="3">
        <v>56902.962687999992</v>
      </c>
      <c r="G33" s="2" t="s">
        <v>73</v>
      </c>
      <c r="H33" s="10">
        <f t="shared" si="0"/>
        <v>3864.8825232183899</v>
      </c>
      <c r="I33" s="10">
        <f t="shared" si="1"/>
        <v>50243.472801839067</v>
      </c>
    </row>
    <row r="34" spans="2:16" x14ac:dyDescent="0.2">
      <c r="B34" s="2" t="s">
        <v>76</v>
      </c>
      <c r="C34" s="2" t="s">
        <v>77</v>
      </c>
      <c r="D34" s="2" t="s">
        <v>29</v>
      </c>
      <c r="E34" s="3">
        <v>2775.2074133333335</v>
      </c>
      <c r="F34" s="3">
        <v>33302.488960000002</v>
      </c>
      <c r="G34" s="2" t="s">
        <v>73</v>
      </c>
      <c r="H34" s="10">
        <f t="shared" si="0"/>
        <v>2261.9245375130618</v>
      </c>
      <c r="I34" s="10">
        <f t="shared" si="1"/>
        <v>29405.018987669802</v>
      </c>
    </row>
    <row r="35" spans="2:16" x14ac:dyDescent="0.2">
      <c r="B35" s="2" t="s">
        <v>78</v>
      </c>
      <c r="C35" s="2" t="s">
        <v>79</v>
      </c>
      <c r="D35" s="2" t="s">
        <v>29</v>
      </c>
      <c r="E35" s="3">
        <v>2080.7494933333332</v>
      </c>
      <c r="F35" s="3">
        <v>24968.993920000001</v>
      </c>
      <c r="G35" s="2" t="s">
        <v>73</v>
      </c>
      <c r="H35" s="10">
        <f t="shared" si="0"/>
        <v>1695.908677951933</v>
      </c>
      <c r="I35" s="10">
        <f t="shared" si="1"/>
        <v>22046.812813375131</v>
      </c>
    </row>
    <row r="36" spans="2:16" x14ac:dyDescent="0.2">
      <c r="E36" s="3">
        <f>SUM(E3:E35)</f>
        <v>1879166.3374309326</v>
      </c>
      <c r="H36" s="10">
        <f>SUM(H3:H35)</f>
        <v>1531608.9270596954</v>
      </c>
      <c r="I36" s="10">
        <f t="shared" si="1"/>
        <v>19910916.05177604</v>
      </c>
    </row>
    <row r="43" spans="2:16" x14ac:dyDescent="0.2">
      <c r="K43" s="2" t="s">
        <v>95</v>
      </c>
    </row>
    <row r="45" spans="2:16" x14ac:dyDescent="0.2">
      <c r="K45" s="18" t="s">
        <v>92</v>
      </c>
      <c r="L45" s="18" t="s">
        <v>91</v>
      </c>
      <c r="M45" s="18" t="s">
        <v>93</v>
      </c>
      <c r="N45" s="18" t="s">
        <v>94</v>
      </c>
      <c r="O45" s="19" t="s">
        <v>4</v>
      </c>
      <c r="P45" s="19" t="s">
        <v>88</v>
      </c>
    </row>
    <row r="46" spans="2:16" x14ac:dyDescent="0.2">
      <c r="K46" s="16" t="s">
        <v>9</v>
      </c>
      <c r="L46" s="15">
        <v>4</v>
      </c>
      <c r="M46" s="17">
        <v>180000</v>
      </c>
      <c r="N46" s="17">
        <f>L46*M46</f>
        <v>720000</v>
      </c>
      <c r="O46" s="17">
        <f>N46*13</f>
        <v>9360000</v>
      </c>
      <c r="P46" s="17">
        <f>O46/L46</f>
        <v>2340000</v>
      </c>
    </row>
    <row r="47" spans="2:16" x14ac:dyDescent="0.2">
      <c r="K47" s="16" t="s">
        <v>14</v>
      </c>
      <c r="L47" s="15">
        <v>10</v>
      </c>
      <c r="M47" s="17">
        <v>100000</v>
      </c>
      <c r="N47" s="17">
        <f>L47*M47</f>
        <v>1000000</v>
      </c>
      <c r="O47" s="17">
        <f t="shared" ref="O47:O50" si="9">N47*13</f>
        <v>13000000</v>
      </c>
      <c r="P47" s="17">
        <f t="shared" ref="P47:P50" si="10">O47/L47</f>
        <v>1300000</v>
      </c>
    </row>
    <row r="48" spans="2:16" x14ac:dyDescent="0.2">
      <c r="K48" s="16" t="s">
        <v>36</v>
      </c>
      <c r="L48" s="15">
        <v>6</v>
      </c>
      <c r="M48" s="17">
        <v>70000</v>
      </c>
      <c r="N48" s="17">
        <f>L48*M48</f>
        <v>420000</v>
      </c>
      <c r="O48" s="17">
        <f t="shared" si="9"/>
        <v>5460000</v>
      </c>
      <c r="P48" s="17">
        <f t="shared" si="10"/>
        <v>910000</v>
      </c>
    </row>
    <row r="49" spans="11:16" x14ac:dyDescent="0.2">
      <c r="K49" s="16" t="s">
        <v>73</v>
      </c>
      <c r="L49" s="15">
        <v>5</v>
      </c>
      <c r="M49" s="17">
        <v>40000</v>
      </c>
      <c r="N49" s="17">
        <f>L49*M49</f>
        <v>200000</v>
      </c>
      <c r="O49" s="17">
        <f t="shared" si="9"/>
        <v>2600000</v>
      </c>
      <c r="P49" s="17">
        <f t="shared" si="10"/>
        <v>520000</v>
      </c>
    </row>
    <row r="50" spans="11:16" x14ac:dyDescent="0.2">
      <c r="K50" s="16" t="s">
        <v>82</v>
      </c>
      <c r="L50" s="15">
        <v>6</v>
      </c>
      <c r="M50" s="17">
        <v>30000</v>
      </c>
      <c r="N50" s="17">
        <f>L50*M50</f>
        <v>180000</v>
      </c>
      <c r="O50" s="17">
        <f t="shared" si="9"/>
        <v>2340000</v>
      </c>
      <c r="P50" s="17">
        <f t="shared" si="10"/>
        <v>390000</v>
      </c>
    </row>
    <row r="51" spans="11:16" x14ac:dyDescent="0.2">
      <c r="L51" s="12">
        <f>SUM(L46:L50)</f>
        <v>31</v>
      </c>
      <c r="N51" s="14">
        <f>SUM(N46:N50)</f>
        <v>2520000</v>
      </c>
      <c r="O51" s="14">
        <f t="shared" ref="O51:P51" si="11">SUM(O46:O50)</f>
        <v>32760000</v>
      </c>
      <c r="P51" s="14">
        <f t="shared" si="11"/>
        <v>5460000</v>
      </c>
    </row>
    <row r="60" spans="11:16" x14ac:dyDescent="0.2">
      <c r="K60" s="2" t="s">
        <v>96</v>
      </c>
    </row>
    <row r="62" spans="11:16" x14ac:dyDescent="0.2">
      <c r="K62" s="18" t="s">
        <v>92</v>
      </c>
      <c r="L62" s="18" t="s">
        <v>91</v>
      </c>
      <c r="M62" s="18" t="s">
        <v>93</v>
      </c>
      <c r="N62" s="18" t="s">
        <v>94</v>
      </c>
      <c r="O62" s="19" t="s">
        <v>4</v>
      </c>
      <c r="P62" s="19" t="s">
        <v>88</v>
      </c>
    </row>
    <row r="63" spans="11:16" x14ac:dyDescent="0.2">
      <c r="K63" s="16" t="s">
        <v>9</v>
      </c>
      <c r="L63" s="15">
        <v>1</v>
      </c>
      <c r="M63" s="17">
        <v>250000</v>
      </c>
      <c r="N63" s="17">
        <f t="shared" ref="N63:N69" si="12">L63*M63</f>
        <v>250000</v>
      </c>
      <c r="O63" s="17">
        <f>N63*13</f>
        <v>3250000</v>
      </c>
      <c r="P63" s="17">
        <f>O63/L63</f>
        <v>3250000</v>
      </c>
    </row>
    <row r="64" spans="11:16" x14ac:dyDescent="0.2">
      <c r="K64" s="16" t="s">
        <v>97</v>
      </c>
      <c r="L64" s="15">
        <v>2</v>
      </c>
      <c r="M64" s="17">
        <v>200000</v>
      </c>
      <c r="N64" s="17">
        <f t="shared" si="12"/>
        <v>400000</v>
      </c>
      <c r="O64" s="17">
        <f t="shared" ref="O64:O68" si="13">N64*13</f>
        <v>5200000</v>
      </c>
      <c r="P64" s="17">
        <f t="shared" ref="P64:P68" si="14">O64/L64</f>
        <v>2600000</v>
      </c>
    </row>
    <row r="65" spans="11:16" x14ac:dyDescent="0.2">
      <c r="K65" s="16" t="s">
        <v>14</v>
      </c>
      <c r="L65" s="15">
        <v>4</v>
      </c>
      <c r="M65" s="17">
        <v>150000</v>
      </c>
      <c r="N65" s="17">
        <f t="shared" si="12"/>
        <v>600000</v>
      </c>
      <c r="O65" s="17">
        <f t="shared" si="13"/>
        <v>7800000</v>
      </c>
      <c r="P65" s="17">
        <f t="shared" si="14"/>
        <v>1950000</v>
      </c>
    </row>
    <row r="66" spans="11:16" x14ac:dyDescent="0.2">
      <c r="K66" s="16" t="s">
        <v>98</v>
      </c>
      <c r="L66" s="15">
        <v>5</v>
      </c>
      <c r="M66" s="17">
        <v>100000</v>
      </c>
      <c r="N66" s="17">
        <f t="shared" si="12"/>
        <v>500000</v>
      </c>
      <c r="O66" s="17">
        <f t="shared" si="13"/>
        <v>6500000</v>
      </c>
      <c r="P66" s="17">
        <f t="shared" si="14"/>
        <v>1300000</v>
      </c>
    </row>
    <row r="67" spans="11:16" x14ac:dyDescent="0.2">
      <c r="K67" s="16" t="s">
        <v>36</v>
      </c>
      <c r="L67" s="15">
        <v>5</v>
      </c>
      <c r="M67" s="17">
        <v>70000</v>
      </c>
      <c r="N67" s="17">
        <f t="shared" si="12"/>
        <v>350000</v>
      </c>
      <c r="O67" s="17">
        <f t="shared" si="13"/>
        <v>4550000</v>
      </c>
      <c r="P67" s="17">
        <f t="shared" si="14"/>
        <v>910000</v>
      </c>
    </row>
    <row r="68" spans="11:16" x14ac:dyDescent="0.2">
      <c r="K68" s="16" t="s">
        <v>82</v>
      </c>
      <c r="L68" s="15">
        <v>5</v>
      </c>
      <c r="M68" s="17">
        <v>50000</v>
      </c>
      <c r="N68" s="17">
        <f t="shared" si="12"/>
        <v>250000</v>
      </c>
      <c r="O68" s="17">
        <f t="shared" si="13"/>
        <v>3250000</v>
      </c>
      <c r="P68" s="17">
        <f t="shared" si="14"/>
        <v>650000</v>
      </c>
    </row>
    <row r="69" spans="11:16" x14ac:dyDescent="0.2">
      <c r="K69" s="16" t="s">
        <v>73</v>
      </c>
      <c r="L69" s="15">
        <v>4</v>
      </c>
      <c r="M69" s="17">
        <v>30000</v>
      </c>
      <c r="N69" s="17">
        <f t="shared" si="12"/>
        <v>120000</v>
      </c>
      <c r="O69" s="17">
        <f>N69*13</f>
        <v>1560000</v>
      </c>
      <c r="P69" s="17">
        <f>O69/L69</f>
        <v>390000</v>
      </c>
    </row>
    <row r="70" spans="11:16" x14ac:dyDescent="0.2">
      <c r="L70" s="12">
        <f>SUM(L63:L69)</f>
        <v>26</v>
      </c>
      <c r="N70" s="14">
        <f>SUM(N63:N69)</f>
        <v>2470000</v>
      </c>
      <c r="O70" s="14">
        <f>SUM(O63:O69)</f>
        <v>32110000</v>
      </c>
      <c r="P70" s="14">
        <f>SUM(P63:P69)</f>
        <v>11050000</v>
      </c>
    </row>
  </sheetData>
  <autoFilter ref="B2:G2" xr:uid="{68FA5E53-BE78-9940-9304-C387B478D95A}">
    <sortState xmlns:xlrd2="http://schemas.microsoft.com/office/spreadsheetml/2017/richdata2" ref="B3:G35">
      <sortCondition descending="1" ref="F2:F35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Squad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Thairo Arruda</dc:creator>
  <cp:lastModifiedBy>Henrique Simoes Silva</cp:lastModifiedBy>
  <dcterms:created xsi:type="dcterms:W3CDTF">2026-09-14T18:46:53Z</dcterms:created>
  <dcterms:modified xsi:type="dcterms:W3CDTF">2026-10-05T12:32:46Z</dcterms:modified>
</cp:coreProperties>
</file>